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653" documentId="11_E60897F41BE170836B02CE998F75CCDC64E183C8" xr6:coauthVersionLast="47" xr6:coauthVersionMax="47" xr10:uidLastSave="{EE2E51A0-1694-4C32-A94A-07B10F6FDB13}"/>
  <bookViews>
    <workbookView xWindow="240" yWindow="105" windowWidth="14805" windowHeight="8010" xr2:uid="{00000000-000D-0000-FFFF-FFFF00000000}"/>
  </bookViews>
  <sheets>
    <sheet name="Historical Financials" sheetId="2" r:id="rId1"/>
    <sheet name="Segment Analysis" sheetId="3" r:id="rId2"/>
    <sheet name="Assumptions" sheetId="4" r:id="rId3"/>
    <sheet name="Forecast" sheetId="5" r:id="rId4"/>
    <sheet name="Cash Flow" sheetId="6" r:id="rId5"/>
    <sheet name="DCF" sheetId="7" r:id="rId6"/>
    <sheet name="Trading Comps" sheetId="8" r:id="rId7"/>
    <sheet name="Bull Base Bear" sheetId="9" r:id="rId8"/>
    <sheet name="Valuation Summary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5" l="1"/>
  <c r="D11" i="5"/>
  <c r="E11" i="5"/>
  <c r="F11" i="5"/>
  <c r="G11" i="5"/>
  <c r="B11" i="5"/>
  <c r="C10" i="5"/>
  <c r="D10" i="5"/>
  <c r="E10" i="5"/>
  <c r="F10" i="5"/>
  <c r="G10" i="5"/>
  <c r="B10" i="5"/>
  <c r="B16" i="10"/>
  <c r="B15" i="10"/>
  <c r="B14" i="10"/>
  <c r="B10" i="10"/>
  <c r="B9" i="10"/>
  <c r="B8" i="10"/>
  <c r="B6" i="10"/>
  <c r="B5" i="10"/>
  <c r="B4" i="10"/>
  <c r="B15" i="9"/>
  <c r="C16" i="9"/>
  <c r="D16" i="9"/>
  <c r="B16" i="9"/>
  <c r="C15" i="9"/>
  <c r="D15" i="9"/>
  <c r="C14" i="9" a="1"/>
  <c r="C14" i="9"/>
  <c r="D14" i="9" a="1"/>
  <c r="D14" i="9"/>
  <c r="B14" i="9" a="1"/>
  <c r="B14" i="9" s="1"/>
  <c r="I10" i="8"/>
  <c r="H10" i="8"/>
  <c r="B13" i="8"/>
  <c r="B12" i="8"/>
  <c r="B14" i="8" s="1"/>
  <c r="C21" i="7"/>
  <c r="D21" i="7"/>
  <c r="C22" i="7"/>
  <c r="D22" i="7"/>
  <c r="C23" i="7"/>
  <c r="D23" i="7"/>
  <c r="B22" i="7"/>
  <c r="B23" i="7"/>
  <c r="B21" i="7"/>
  <c r="B8" i="7"/>
  <c r="B15" i="7"/>
  <c r="B13" i="7"/>
  <c r="F5" i="7"/>
  <c r="E5" i="7"/>
  <c r="D5" i="7"/>
  <c r="C5" i="7"/>
  <c r="B5" i="7"/>
  <c r="C4" i="7"/>
  <c r="C6" i="7" s="1"/>
  <c r="D4" i="7"/>
  <c r="D6" i="7" s="1"/>
  <c r="E4" i="7"/>
  <c r="E6" i="7" s="1"/>
  <c r="F4" i="7"/>
  <c r="B4" i="7"/>
  <c r="B6" i="7" s="1"/>
  <c r="D10" i="6"/>
  <c r="E10" i="6"/>
  <c r="F10" i="6"/>
  <c r="G10" i="6"/>
  <c r="C10" i="6"/>
  <c r="D9" i="6"/>
  <c r="E9" i="6"/>
  <c r="F9" i="6"/>
  <c r="G9" i="6"/>
  <c r="C9" i="6"/>
  <c r="D8" i="6"/>
  <c r="E8" i="6"/>
  <c r="F8" i="6"/>
  <c r="G8" i="6"/>
  <c r="C8" i="6"/>
  <c r="D7" i="6"/>
  <c r="E7" i="6"/>
  <c r="F7" i="6"/>
  <c r="G7" i="6"/>
  <c r="C7" i="6"/>
  <c r="D6" i="6"/>
  <c r="E6" i="6"/>
  <c r="F6" i="6"/>
  <c r="G6" i="6"/>
  <c r="C6" i="6"/>
  <c r="D4" i="6"/>
  <c r="E4" i="6"/>
  <c r="F4" i="6"/>
  <c r="G4" i="6"/>
  <c r="C4" i="6"/>
  <c r="B10" i="6"/>
  <c r="B6" i="6"/>
  <c r="B4" i="6"/>
  <c r="D8" i="5"/>
  <c r="E8" i="5"/>
  <c r="F8" i="5"/>
  <c r="G8" i="5"/>
  <c r="C8" i="5"/>
  <c r="D9" i="5"/>
  <c r="E9" i="5"/>
  <c r="F9" i="5"/>
  <c r="G9" i="5"/>
  <c r="C9" i="5"/>
  <c r="D6" i="5"/>
  <c r="E6" i="5"/>
  <c r="F6" i="5"/>
  <c r="G6" i="5"/>
  <c r="C6" i="5"/>
  <c r="B8" i="5"/>
  <c r="B9" i="5"/>
  <c r="B7" i="5"/>
  <c r="B6" i="5"/>
  <c r="B5" i="5"/>
  <c r="B4" i="5"/>
  <c r="C4" i="5" s="1"/>
  <c r="D8" i="3"/>
  <c r="C8" i="3"/>
  <c r="D7" i="3"/>
  <c r="C7" i="3"/>
  <c r="C6" i="3"/>
  <c r="D6" i="3"/>
  <c r="B6" i="3"/>
  <c r="C17" i="2"/>
  <c r="D17" i="2"/>
  <c r="E17" i="2"/>
  <c r="F17" i="2"/>
  <c r="B17" i="2"/>
  <c r="C11" i="2"/>
  <c r="D11" i="2"/>
  <c r="C12" i="2"/>
  <c r="D12" i="2"/>
  <c r="C13" i="2"/>
  <c r="D13" i="2"/>
  <c r="C14" i="2"/>
  <c r="D14" i="2"/>
  <c r="E14" i="2"/>
  <c r="F14" i="2"/>
  <c r="B14" i="2"/>
  <c r="E13" i="2"/>
  <c r="F13" i="2"/>
  <c r="B13" i="2"/>
  <c r="E12" i="2"/>
  <c r="F12" i="2"/>
  <c r="B12" i="2"/>
  <c r="E11" i="2"/>
  <c r="F11" i="2"/>
  <c r="B9" i="7" l="1"/>
  <c r="B10" i="7" s="1"/>
  <c r="F6" i="7"/>
  <c r="B12" i="7" s="1"/>
  <c r="B14" i="7" s="1"/>
  <c r="B16" i="7" s="1"/>
  <c r="D4" i="5"/>
  <c r="C5" i="5"/>
  <c r="E4" i="5" l="1"/>
  <c r="D5" i="5"/>
  <c r="E5" i="5" l="1"/>
  <c r="F4" i="5"/>
  <c r="F5" i="5" l="1"/>
  <c r="G4" i="5"/>
  <c r="G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<sst xmlns="http://schemas.openxmlformats.org/spreadsheetml/2006/main" count="153" uniqueCount="105">
  <si>
    <t>Historical Financials</t>
  </si>
  <si>
    <t>Metric ($mm)</t>
  </si>
  <si>
    <t>FY2022A</t>
  </si>
  <si>
    <t>FY2023A</t>
  </si>
  <si>
    <t>FY2024A</t>
  </si>
  <si>
    <t>FY2025A</t>
  </si>
  <si>
    <t>FY2026A</t>
  </si>
  <si>
    <t>Revenue</t>
  </si>
  <si>
    <t>Cost of Sales</t>
  </si>
  <si>
    <t>Gross Profit</t>
  </si>
  <si>
    <t>SG&amp;A</t>
  </si>
  <si>
    <t>EBIT</t>
  </si>
  <si>
    <t>Net Income</t>
  </si>
  <si>
    <t>Diluted EPS</t>
  </si>
  <si>
    <t>Revenue Growth</t>
  </si>
  <si>
    <t>Gross Margin</t>
  </si>
  <si>
    <t>EBIT Margin</t>
  </si>
  <si>
    <t>Net Margin</t>
  </si>
  <si>
    <t>Operating Cash Flow</t>
  </si>
  <si>
    <t>Capital Expenditure</t>
  </si>
  <si>
    <t>Free Cash Flow</t>
  </si>
  <si>
    <t>Segment Analysis</t>
  </si>
  <si>
    <t>Nike Brand Revenue</t>
  </si>
  <si>
    <t>Converse Revenue</t>
  </si>
  <si>
    <t>Nike Brand + Converse Revenue</t>
  </si>
  <si>
    <t>Nike Brand Growth</t>
  </si>
  <si>
    <t>Converse Growth</t>
  </si>
  <si>
    <t>Assumptions</t>
  </si>
  <si>
    <t>Revenue Growth Assumptions</t>
  </si>
  <si>
    <t>Base Case</t>
  </si>
  <si>
    <t>Bull Case</t>
  </si>
  <si>
    <t>Bear Case</t>
  </si>
  <si>
    <t>Margin Assumptions</t>
  </si>
  <si>
    <t>Valuation Assumptions</t>
  </si>
  <si>
    <t>WACC</t>
  </si>
  <si>
    <t>Terminal Growth Rate</t>
  </si>
  <si>
    <t>Forecast</t>
  </si>
  <si>
    <t>FY2027E</t>
  </si>
  <si>
    <t>FY2028E</t>
  </si>
  <si>
    <t>FY2029E</t>
  </si>
  <si>
    <t>FY2030E</t>
  </si>
  <si>
    <t>FY2031E</t>
  </si>
  <si>
    <t>Operating Income</t>
  </si>
  <si>
    <t>Operating Margin</t>
  </si>
  <si>
    <t>Free Cash Flow Forecast</t>
  </si>
  <si>
    <t>Tax Rate</t>
  </si>
  <si>
    <t>NOPAT</t>
  </si>
  <si>
    <t>Depreciation &amp; Amortization</t>
  </si>
  <si>
    <t>Change in Working Capital</t>
  </si>
  <si>
    <t xml:space="preserve">                      </t>
  </si>
  <si>
    <t>DCF Valuation</t>
  </si>
  <si>
    <t>Discount Factor</t>
  </si>
  <si>
    <t>Present Value of FCF</t>
  </si>
  <si>
    <t>Terminal Value</t>
  </si>
  <si>
    <t>PV of Terminal Value</t>
  </si>
  <si>
    <t>Enterprise Value</t>
  </si>
  <si>
    <t>Net Debt</t>
  </si>
  <si>
    <t>Equity Value</t>
  </si>
  <si>
    <t>Shares Outstanding (mm)</t>
  </si>
  <si>
    <t>Implied Share Price</t>
  </si>
  <si>
    <t>DCF Senstivity-Implied Share Price</t>
  </si>
  <si>
    <t>WACC / Terminal Growth</t>
  </si>
  <si>
    <t>Trading Comparables</t>
  </si>
  <si>
    <t>Company</t>
  </si>
  <si>
    <t>Ticker</t>
  </si>
  <si>
    <t>Share Price</t>
  </si>
  <si>
    <t>Market Cap ($mm)</t>
  </si>
  <si>
    <t>Enterprise Value ($mm)</t>
  </si>
  <si>
    <t>Revenue ($mm)</t>
  </si>
  <si>
    <t>EBITDA ($mm)</t>
  </si>
  <si>
    <t>P/E</t>
  </si>
  <si>
    <t>EV/EBITDA</t>
  </si>
  <si>
    <t>Nike</t>
  </si>
  <si>
    <t>NKE</t>
  </si>
  <si>
    <t>Adidas</t>
  </si>
  <si>
    <t>ADS</t>
  </si>
  <si>
    <t>Puma</t>
  </si>
  <si>
    <t>PUM</t>
  </si>
  <si>
    <t>N/A</t>
  </si>
  <si>
    <t>Lululemon</t>
  </si>
  <si>
    <t>LULU</t>
  </si>
  <si>
    <t>Under Armour</t>
  </si>
  <si>
    <t>UAA</t>
  </si>
  <si>
    <t>Peer Median</t>
  </si>
  <si>
    <t>P/E Implied Share Price</t>
  </si>
  <si>
    <t>EV/EBITDA Implied Share Price</t>
  </si>
  <si>
    <t>Average Implied Share Price</t>
  </si>
  <si>
    <t>Bull/Base/Bear Analysis</t>
  </si>
  <si>
    <t>Metric</t>
  </si>
  <si>
    <t>Terminal Growth</t>
  </si>
  <si>
    <t>DCF Value</t>
  </si>
  <si>
    <t>Trading Comps Value</t>
  </si>
  <si>
    <t>Scenario Value</t>
  </si>
  <si>
    <t>DCF Implied Share Price</t>
  </si>
  <si>
    <t>Scenario Implied Share Price</t>
  </si>
  <si>
    <t>Nike Valuation Summary</t>
  </si>
  <si>
    <t>Valuation Method</t>
  </si>
  <si>
    <t>DCF</t>
  </si>
  <si>
    <t>Base Case Scenario</t>
  </si>
  <si>
    <t>Current Share Price</t>
  </si>
  <si>
    <t>Target Share Price</t>
  </si>
  <si>
    <t>Upside / (Downside)</t>
  </si>
  <si>
    <t>Recommendation</t>
  </si>
  <si>
    <t>BUY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</si>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</sst>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(* #,##0_);_(* \(#,##0\);_(* &quot;-&quot;??_);_(@_)"/>
    <numFmt numFmtId="166" formatCode="_([$$-409]* #,##0.00_);_([$$-409]* \(#,##0.00\);_([$$-409]* &quot;-&quot;??_);_(@_)"/>
    <numFmt numFmtId="167" formatCode="0.00\x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8" fillId="0" borderId="3" xfId="0" applyFont="1" applyBorder="1"/>
    <xf numFmtId="3" fontId="8" fillId="0" borderId="3" xfId="0" applyNumberFormat="1" applyFont="1" applyBorder="1"/>
    <xf numFmtId="2" fontId="8" fillId="0" borderId="3" xfId="0" applyNumberFormat="1" applyFont="1" applyBorder="1"/>
    <xf numFmtId="0" fontId="7" fillId="0" borderId="3" xfId="0" applyFont="1" applyBorder="1"/>
    <xf numFmtId="0" fontId="4" fillId="0" borderId="3" xfId="0" applyFont="1" applyBorder="1"/>
    <xf numFmtId="0" fontId="7" fillId="0" borderId="3" xfId="0" applyFont="1" applyBorder="1" applyAlignment="1">
      <alignment wrapText="1"/>
    </xf>
    <xf numFmtId="0" fontId="2" fillId="0" borderId="0" xfId="0" applyFont="1"/>
    <xf numFmtId="3" fontId="8" fillId="0" borderId="3" xfId="0" applyNumberFormat="1" applyFont="1" applyBorder="1" applyAlignment="1">
      <alignment wrapText="1"/>
    </xf>
    <xf numFmtId="164" fontId="8" fillId="0" borderId="3" xfId="0" applyNumberFormat="1" applyFont="1" applyBorder="1" applyAlignment="1">
      <alignment wrapText="1"/>
    </xf>
    <xf numFmtId="0" fontId="6" fillId="0" borderId="1" xfId="0" applyFont="1" applyBorder="1"/>
    <xf numFmtId="0" fontId="6" fillId="0" borderId="2" xfId="0" applyFont="1" applyBorder="1"/>
    <xf numFmtId="164" fontId="0" fillId="0" borderId="3" xfId="0" applyNumberFormat="1" applyBorder="1"/>
    <xf numFmtId="0" fontId="9" fillId="0" borderId="4" xfId="0" applyFont="1" applyBorder="1"/>
    <xf numFmtId="0" fontId="9" fillId="0" borderId="5" xfId="0" applyFont="1" applyBorder="1"/>
    <xf numFmtId="164" fontId="0" fillId="0" borderId="0" xfId="0" applyNumberFormat="1"/>
    <xf numFmtId="0" fontId="6" fillId="0" borderId="3" xfId="0" applyFont="1" applyBorder="1" applyAlignment="1">
      <alignment wrapText="1"/>
    </xf>
    <xf numFmtId="0" fontId="9" fillId="0" borderId="3" xfId="0" applyFont="1" applyBorder="1"/>
    <xf numFmtId="3" fontId="0" fillId="0" borderId="3" xfId="0" applyNumberFormat="1" applyBorder="1"/>
    <xf numFmtId="1" fontId="0" fillId="0" borderId="3" xfId="0" applyNumberFormat="1" applyBorder="1"/>
    <xf numFmtId="165" fontId="0" fillId="0" borderId="3" xfId="0" applyNumberFormat="1" applyBorder="1"/>
    <xf numFmtId="0" fontId="0" fillId="0" borderId="3" xfId="0" applyBorder="1"/>
    <xf numFmtId="0" fontId="6" fillId="0" borderId="6" xfId="0" applyFont="1" applyBorder="1" applyAlignment="1">
      <alignment wrapText="1"/>
    </xf>
    <xf numFmtId="0" fontId="9" fillId="0" borderId="7" xfId="0" applyFont="1" applyBorder="1"/>
    <xf numFmtId="166" fontId="0" fillId="0" borderId="0" xfId="0" applyNumberFormat="1"/>
    <xf numFmtId="165" fontId="0" fillId="0" borderId="0" xfId="0" applyNumberFormat="1"/>
    <xf numFmtId="0" fontId="6" fillId="0" borderId="3" xfId="0" applyFont="1" applyBorder="1"/>
    <xf numFmtId="166" fontId="0" fillId="0" borderId="3" xfId="0" applyNumberFormat="1" applyBorder="1"/>
    <xf numFmtId="166" fontId="5" fillId="0" borderId="3" xfId="0" applyNumberFormat="1" applyFont="1" applyBorder="1"/>
    <xf numFmtId="164" fontId="6" fillId="0" borderId="6" xfId="0" applyNumberFormat="1" applyFont="1" applyBorder="1"/>
    <xf numFmtId="164" fontId="6" fillId="0" borderId="8" xfId="0" applyNumberFormat="1" applyFont="1" applyBorder="1"/>
    <xf numFmtId="3" fontId="9" fillId="0" borderId="3" xfId="0" applyNumberFormat="1" applyFont="1" applyBorder="1"/>
    <xf numFmtId="0" fontId="9" fillId="0" borderId="3" xfId="0" applyFont="1" applyBorder="1" applyAlignment="1">
      <alignment wrapText="1"/>
    </xf>
    <xf numFmtId="3" fontId="9" fillId="0" borderId="3" xfId="0" applyNumberFormat="1" applyFont="1" applyBorder="1" applyAlignment="1">
      <alignment wrapText="1"/>
    </xf>
    <xf numFmtId="166" fontId="9" fillId="0" borderId="3" xfId="0" applyNumberFormat="1" applyFont="1" applyBorder="1"/>
    <xf numFmtId="166" fontId="9" fillId="0" borderId="3" xfId="0" applyNumberFormat="1" applyFont="1" applyBorder="1" applyAlignment="1">
      <alignment wrapText="1"/>
    </xf>
    <xf numFmtId="167" fontId="9" fillId="0" borderId="3" xfId="0" applyNumberFormat="1" applyFont="1" applyBorder="1"/>
    <xf numFmtId="167" fontId="9" fillId="0" borderId="3" xfId="0" applyNumberFormat="1" applyFont="1" applyBorder="1" applyAlignment="1">
      <alignment wrapText="1"/>
    </xf>
    <xf numFmtId="167" fontId="0" fillId="0" borderId="3" xfId="0" applyNumberFormat="1" applyBorder="1"/>
    <xf numFmtId="10" fontId="9" fillId="0" borderId="3" xfId="0" applyNumberFormat="1" applyFont="1" applyBorder="1"/>
    <xf numFmtId="0" fontId="1" fillId="0" borderId="0" xfId="0" applyFont="1"/>
    <xf numFmtId="164" fontId="1" fillId="0" borderId="3" xfId="0" applyNumberFormat="1" applyFont="1" applyBorder="1"/>
    <xf numFmtId="3" fontId="1" fillId="0" borderId="3" xfId="0" applyNumberFormat="1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0A26-FB63-4B91-873E-1F88C15CFD61}">
  <dimension ref="A1:F17"/>
  <sheetViews>
    <sheetView tabSelected="1" workbookViewId="0">
      <selection activeCell="F3" sqref="F3"/>
    </sheetView>
  </sheetViews>
  <sheetFormatPr defaultRowHeight="15"/>
  <cols>
    <col min="1" max="1" width="20.28515625" style="3" customWidth="1"/>
    <col min="2" max="2" width="12.5703125" style="3" customWidth="1"/>
    <col min="3" max="3" width="12.42578125" style="3" customWidth="1"/>
    <col min="4" max="5" width="12.28515625" style="3" customWidth="1"/>
    <col min="6" max="6" width="12" style="3" customWidth="1"/>
    <col min="7" max="16384" width="9.140625" style="3"/>
  </cols>
  <sheetData>
    <row r="1" spans="1:6">
      <c r="A1" s="2" t="s">
        <v>0</v>
      </c>
      <c r="B1" s="43"/>
      <c r="C1" s="43"/>
      <c r="D1" s="43"/>
      <c r="E1" s="43"/>
      <c r="F1" s="43"/>
    </row>
    <row r="3" spans="1:6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6">
      <c r="A4" s="7" t="s">
        <v>7</v>
      </c>
      <c r="B4" s="5">
        <v>46710</v>
      </c>
      <c r="C4" s="5">
        <v>51217</v>
      </c>
      <c r="D4" s="5">
        <v>51362</v>
      </c>
      <c r="E4" s="5">
        <v>46309</v>
      </c>
      <c r="F4" s="5">
        <v>46398</v>
      </c>
    </row>
    <row r="5" spans="1:6">
      <c r="A5" s="7" t="s">
        <v>8</v>
      </c>
      <c r="B5" s="5">
        <v>25231</v>
      </c>
      <c r="C5" s="5">
        <v>28925</v>
      </c>
      <c r="D5" s="5">
        <v>28475</v>
      </c>
      <c r="E5" s="5">
        <v>26519</v>
      </c>
      <c r="F5" s="5">
        <v>26487</v>
      </c>
    </row>
    <row r="6" spans="1:6">
      <c r="A6" s="7" t="s">
        <v>9</v>
      </c>
      <c r="B6" s="5">
        <v>21479</v>
      </c>
      <c r="C6" s="5">
        <v>22292</v>
      </c>
      <c r="D6" s="5">
        <v>22887</v>
      </c>
      <c r="E6" s="5">
        <v>19790</v>
      </c>
      <c r="F6" s="5">
        <v>19911</v>
      </c>
    </row>
    <row r="7" spans="1:6">
      <c r="A7" s="7" t="s">
        <v>10</v>
      </c>
      <c r="B7" s="5">
        <v>14804</v>
      </c>
      <c r="C7" s="5">
        <v>16377</v>
      </c>
      <c r="D7" s="5">
        <v>16576</v>
      </c>
      <c r="E7" s="5">
        <v>16088</v>
      </c>
      <c r="F7" s="5">
        <v>16114</v>
      </c>
    </row>
    <row r="8" spans="1:6">
      <c r="A8" s="7" t="s">
        <v>11</v>
      </c>
      <c r="B8" s="5">
        <v>6856</v>
      </c>
      <c r="C8" s="5">
        <v>6195</v>
      </c>
      <c r="D8" s="5">
        <v>6539</v>
      </c>
      <c r="E8" s="5">
        <v>3778</v>
      </c>
      <c r="F8" s="5">
        <v>3850</v>
      </c>
    </row>
    <row r="9" spans="1:6">
      <c r="A9" s="7" t="s">
        <v>12</v>
      </c>
      <c r="B9" s="5">
        <v>6046</v>
      </c>
      <c r="C9" s="5">
        <v>5070</v>
      </c>
      <c r="D9" s="5">
        <v>5700</v>
      </c>
      <c r="E9" s="5">
        <v>3219</v>
      </c>
      <c r="F9" s="5">
        <v>3108</v>
      </c>
    </row>
    <row r="10" spans="1:6">
      <c r="A10" s="7" t="s">
        <v>13</v>
      </c>
      <c r="B10" s="4">
        <v>3.75</v>
      </c>
      <c r="C10" s="4">
        <v>3.23</v>
      </c>
      <c r="D10" s="4">
        <v>3.73</v>
      </c>
      <c r="E10" s="4">
        <v>2.16</v>
      </c>
      <c r="F10" s="6">
        <v>2.1</v>
      </c>
    </row>
    <row r="11" spans="1:6">
      <c r="A11" s="8" t="s">
        <v>14</v>
      </c>
      <c r="B11" s="44"/>
      <c r="C11" s="44">
        <f>C4/B4-1</f>
        <v>9.6488974523656568E-2</v>
      </c>
      <c r="D11" s="44">
        <f t="shared" ref="D11:F11" si="0">D4/C4-1</f>
        <v>2.8310912392370824E-3</v>
      </c>
      <c r="E11" s="44">
        <f>E4/D4-1</f>
        <v>-9.8380125384525563E-2</v>
      </c>
      <c r="F11" s="44">
        <f t="shared" si="0"/>
        <v>1.9218726381480256E-3</v>
      </c>
    </row>
    <row r="12" spans="1:6">
      <c r="A12" s="8" t="s">
        <v>15</v>
      </c>
      <c r="B12" s="44">
        <f>B6/B4</f>
        <v>0.45983729394134021</v>
      </c>
      <c r="C12" s="44">
        <f t="shared" ref="C12:F12" si="1">C6/C4</f>
        <v>0.43524610969014194</v>
      </c>
      <c r="D12" s="44">
        <f t="shared" si="1"/>
        <v>0.44560180678322497</v>
      </c>
      <c r="E12" s="44">
        <f t="shared" si="1"/>
        <v>0.42734673605562634</v>
      </c>
      <c r="F12" s="44">
        <f t="shared" si="1"/>
        <v>0.42913487650329757</v>
      </c>
    </row>
    <row r="13" spans="1:6">
      <c r="A13" s="8" t="s">
        <v>16</v>
      </c>
      <c r="B13" s="44">
        <f>B8/B4</f>
        <v>0.14677799186469706</v>
      </c>
      <c r="C13" s="44">
        <f t="shared" ref="C13:F13" si="2">C8/C4</f>
        <v>0.12095593260050373</v>
      </c>
      <c r="D13" s="44">
        <f t="shared" si="2"/>
        <v>0.12731202055994703</v>
      </c>
      <c r="E13" s="44">
        <f t="shared" si="2"/>
        <v>8.1582413785657212E-2</v>
      </c>
      <c r="F13" s="44">
        <f t="shared" si="2"/>
        <v>8.2977714556661919E-2</v>
      </c>
    </row>
    <row r="14" spans="1:6">
      <c r="A14" s="8" t="s">
        <v>17</v>
      </c>
      <c r="B14" s="44">
        <f>B9/B4</f>
        <v>0.12943695140226932</v>
      </c>
      <c r="C14" s="44">
        <f t="shared" ref="C14:F14" si="3">C9/C4</f>
        <v>9.8990569537458259E-2</v>
      </c>
      <c r="D14" s="44">
        <f t="shared" si="3"/>
        <v>0.11097698687745804</v>
      </c>
      <c r="E14" s="44">
        <f t="shared" si="3"/>
        <v>6.9511326092120324E-2</v>
      </c>
      <c r="F14" s="44">
        <f t="shared" si="3"/>
        <v>6.6985645933014357E-2</v>
      </c>
    </row>
    <row r="15" spans="1:6">
      <c r="A15" s="9" t="s">
        <v>18</v>
      </c>
      <c r="B15" s="5">
        <v>5188</v>
      </c>
      <c r="C15" s="5">
        <v>5841</v>
      </c>
      <c r="D15" s="5">
        <v>7429</v>
      </c>
      <c r="E15" s="5">
        <v>3698</v>
      </c>
      <c r="F15" s="5">
        <v>2868</v>
      </c>
    </row>
    <row r="16" spans="1:6">
      <c r="A16" s="9" t="s">
        <v>19</v>
      </c>
      <c r="B16" s="4">
        <v>758</v>
      </c>
      <c r="C16" s="4">
        <v>969</v>
      </c>
      <c r="D16" s="4">
        <v>812</v>
      </c>
      <c r="E16" s="4">
        <v>430</v>
      </c>
      <c r="F16" s="4">
        <v>684</v>
      </c>
    </row>
    <row r="17" spans="1:6">
      <c r="A17" s="9" t="s">
        <v>20</v>
      </c>
      <c r="B17" s="45">
        <f>B15-B16</f>
        <v>4430</v>
      </c>
      <c r="C17" s="45">
        <f t="shared" ref="C17:F17" si="4">C15-C16</f>
        <v>4872</v>
      </c>
      <c r="D17" s="45">
        <f t="shared" si="4"/>
        <v>6617</v>
      </c>
      <c r="E17" s="45">
        <f t="shared" si="4"/>
        <v>3268</v>
      </c>
      <c r="F17" s="45">
        <f t="shared" si="4"/>
        <v>2184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258A-1340-4673-AE09-BBCAAF6F78AA}">
  <dimension ref="A1:D8"/>
  <sheetViews>
    <sheetView workbookViewId="0">
      <selection activeCell="G14" sqref="G14"/>
    </sheetView>
  </sheetViews>
  <sheetFormatPr defaultRowHeight="15"/>
  <cols>
    <col min="1" max="1" width="32.42578125" style="10" customWidth="1"/>
    <col min="2" max="2" width="12.28515625" style="10" customWidth="1"/>
    <col min="3" max="3" width="12.85546875" style="10" customWidth="1"/>
    <col min="4" max="4" width="12.7109375" style="10" customWidth="1"/>
    <col min="5" max="16384" width="9.140625" style="10"/>
  </cols>
  <sheetData>
    <row r="1" spans="1:4">
      <c r="A1" s="2" t="s">
        <v>21</v>
      </c>
      <c r="B1" s="43"/>
      <c r="C1" s="43"/>
      <c r="D1" s="43"/>
    </row>
    <row r="3" spans="1:4">
      <c r="A3" s="9" t="s">
        <v>1</v>
      </c>
      <c r="B3" s="9" t="s">
        <v>4</v>
      </c>
      <c r="C3" s="9" t="s">
        <v>5</v>
      </c>
      <c r="D3" s="9" t="s">
        <v>6</v>
      </c>
    </row>
    <row r="4" spans="1:4">
      <c r="A4" s="7" t="s">
        <v>22</v>
      </c>
      <c r="B4" s="11">
        <v>49322</v>
      </c>
      <c r="C4" s="11">
        <v>44714</v>
      </c>
      <c r="D4" s="11">
        <v>45222</v>
      </c>
    </row>
    <row r="5" spans="1:4">
      <c r="A5" s="7" t="s">
        <v>23</v>
      </c>
      <c r="B5" s="11">
        <v>2082</v>
      </c>
      <c r="C5" s="11">
        <v>1692</v>
      </c>
      <c r="D5" s="11">
        <v>1174</v>
      </c>
    </row>
    <row r="6" spans="1:4">
      <c r="A6" s="9" t="s">
        <v>24</v>
      </c>
      <c r="B6" s="45">
        <f>SUM(B4:B5)</f>
        <v>51404</v>
      </c>
      <c r="C6" s="45">
        <f t="shared" ref="C6:D6" si="0">SUM(C4:C5)</f>
        <v>46406</v>
      </c>
      <c r="D6" s="45">
        <f t="shared" si="0"/>
        <v>46396</v>
      </c>
    </row>
    <row r="7" spans="1:4">
      <c r="A7" s="7" t="s">
        <v>25</v>
      </c>
      <c r="B7" s="46"/>
      <c r="C7" s="12">
        <f>C4/B4-1</f>
        <v>-9.3426868334617441E-2</v>
      </c>
      <c r="D7" s="12">
        <f>D4/C4-1</f>
        <v>1.1361094959073226E-2</v>
      </c>
    </row>
    <row r="8" spans="1:4">
      <c r="A8" s="7" t="s">
        <v>26</v>
      </c>
      <c r="B8" s="46"/>
      <c r="C8" s="44">
        <f>C5/B5-1</f>
        <v>-0.18731988472622474</v>
      </c>
      <c r="D8" s="44">
        <f>D5/C5-1</f>
        <v>-0.30614657210401897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27E6-58FD-4B3D-BA0F-F716032A8B63}">
  <dimension ref="A1:B15"/>
  <sheetViews>
    <sheetView workbookViewId="0"/>
  </sheetViews>
  <sheetFormatPr defaultRowHeight="15"/>
  <cols>
    <col min="1" max="1" width="30.85546875" customWidth="1"/>
  </cols>
  <sheetData>
    <row r="1" spans="1:2">
      <c r="A1" s="1" t="s">
        <v>27</v>
      </c>
    </row>
    <row r="3" spans="1:2">
      <c r="A3" s="13" t="s">
        <v>28</v>
      </c>
    </row>
    <row r="4" spans="1:2">
      <c r="A4" s="16" t="s">
        <v>29</v>
      </c>
      <c r="B4" s="15">
        <v>0.04</v>
      </c>
    </row>
    <row r="5" spans="1:2">
      <c r="A5" s="16" t="s">
        <v>30</v>
      </c>
      <c r="B5" s="15">
        <v>0.06</v>
      </c>
    </row>
    <row r="6" spans="1:2">
      <c r="A6" s="16" t="s">
        <v>31</v>
      </c>
      <c r="B6" s="15">
        <v>0.01</v>
      </c>
    </row>
    <row r="8" spans="1:2">
      <c r="A8" s="14" t="s">
        <v>32</v>
      </c>
    </row>
    <row r="9" spans="1:2">
      <c r="A9" s="16" t="s">
        <v>29</v>
      </c>
      <c r="B9" s="15">
        <v>0.1</v>
      </c>
    </row>
    <row r="10" spans="1:2">
      <c r="A10" s="16" t="s">
        <v>30</v>
      </c>
      <c r="B10" s="15">
        <v>0.11</v>
      </c>
    </row>
    <row r="11" spans="1:2">
      <c r="A11" s="16" t="s">
        <v>31</v>
      </c>
      <c r="B11" s="15">
        <v>0.08</v>
      </c>
    </row>
    <row r="13" spans="1:2">
      <c r="A13" s="14" t="s">
        <v>33</v>
      </c>
    </row>
    <row r="14" spans="1:2">
      <c r="A14" s="16" t="s">
        <v>34</v>
      </c>
      <c r="B14" s="15">
        <v>0.09</v>
      </c>
    </row>
    <row r="15" spans="1:2">
      <c r="A15" s="17" t="s">
        <v>35</v>
      </c>
      <c r="B15" s="15">
        <v>2.5000000000000001E-2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EA92-AFCE-48FF-825D-570DF7334444}">
  <dimension ref="A1:G12"/>
  <sheetViews>
    <sheetView workbookViewId="0">
      <selection activeCell="B11" sqref="B11:G11"/>
    </sheetView>
  </sheetViews>
  <sheetFormatPr defaultRowHeight="15"/>
  <cols>
    <col min="1" max="1" width="19.5703125" customWidth="1"/>
    <col min="2" max="2" width="10.85546875" customWidth="1"/>
    <col min="3" max="7" width="10.85546875" bestFit="1" customWidth="1"/>
  </cols>
  <sheetData>
    <row r="1" spans="1:7">
      <c r="A1" s="1" t="s">
        <v>36</v>
      </c>
    </row>
    <row r="3" spans="1:7">
      <c r="A3" s="19" t="s">
        <v>1</v>
      </c>
      <c r="B3" s="7" t="s">
        <v>6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41</v>
      </c>
    </row>
    <row r="4" spans="1:7">
      <c r="A4" s="20" t="s">
        <v>7</v>
      </c>
      <c r="B4" s="21">
        <f>'Historical Financials'!F4</f>
        <v>46398</v>
      </c>
      <c r="C4" s="23">
        <f>B4*(1+Assumptions!B4)</f>
        <v>48253.919999999998</v>
      </c>
      <c r="D4" s="23">
        <f>C4*(1+Assumptions!B4)</f>
        <v>50184.076800000003</v>
      </c>
      <c r="E4" s="23">
        <f>D4*(1+Assumptions!B4)</f>
        <v>52191.439872000003</v>
      </c>
      <c r="F4" s="23">
        <f>E4*(1+Assumptions!B4)</f>
        <v>54279.097466880005</v>
      </c>
      <c r="G4" s="23">
        <f>F4*(1+Assumptions!B4)</f>
        <v>56450.261365555205</v>
      </c>
    </row>
    <row r="5" spans="1:7">
      <c r="A5" s="20" t="s">
        <v>14</v>
      </c>
      <c r="B5" s="15">
        <f>'Historical Financials'!F11</f>
        <v>1.9218726381480256E-3</v>
      </c>
      <c r="C5" s="15">
        <f>C4/B4-1</f>
        <v>4.0000000000000036E-2</v>
      </c>
      <c r="D5" s="15">
        <f>D4/C4-1</f>
        <v>4.0000000000000036E-2</v>
      </c>
      <c r="E5" s="15">
        <f>E4/D4-1</f>
        <v>4.0000000000000036E-2</v>
      </c>
      <c r="F5" s="15">
        <f>F4/E4-1</f>
        <v>4.0000000000000036E-2</v>
      </c>
      <c r="G5" s="15">
        <f>G4/F4-1</f>
        <v>4.0000000000000036E-2</v>
      </c>
    </row>
    <row r="6" spans="1:7">
      <c r="A6" s="20" t="s">
        <v>9</v>
      </c>
      <c r="B6" s="21">
        <f>'Historical Financials'!F6</f>
        <v>19911</v>
      </c>
      <c r="C6" s="23">
        <f>C4*C7</f>
        <v>20797.43952</v>
      </c>
      <c r="D6" s="23">
        <f t="shared" ref="D6:G6" si="0">D4*D7</f>
        <v>21729.7052544</v>
      </c>
      <c r="E6" s="23">
        <f t="shared" si="0"/>
        <v>22703.276344320002</v>
      </c>
      <c r="F6" s="23">
        <f t="shared" si="0"/>
        <v>23719.965593026562</v>
      </c>
      <c r="G6" s="23">
        <f t="shared" si="0"/>
        <v>24838.115000844289</v>
      </c>
    </row>
    <row r="7" spans="1:7">
      <c r="A7" s="20" t="s">
        <v>15</v>
      </c>
      <c r="B7" s="15">
        <f>'Historical Financials'!F12</f>
        <v>0.42913487650329757</v>
      </c>
      <c r="C7" s="15">
        <v>0.43099999999999999</v>
      </c>
      <c r="D7" s="15">
        <v>0.433</v>
      </c>
      <c r="E7" s="15">
        <v>0.435</v>
      </c>
      <c r="F7" s="15">
        <v>0.437</v>
      </c>
      <c r="G7" s="15">
        <v>0.44</v>
      </c>
    </row>
    <row r="8" spans="1:7">
      <c r="A8" s="20" t="s">
        <v>42</v>
      </c>
      <c r="B8" s="21">
        <f>'Historical Financials'!F8</f>
        <v>3850</v>
      </c>
      <c r="C8" s="23">
        <f>C4*C9</f>
        <v>4825.3919999999998</v>
      </c>
      <c r="D8" s="23">
        <f t="shared" ref="D8:G8" si="1">D4*D9</f>
        <v>5018.4076800000003</v>
      </c>
      <c r="E8" s="23">
        <f t="shared" si="1"/>
        <v>5219.143987200001</v>
      </c>
      <c r="F8" s="23">
        <f t="shared" si="1"/>
        <v>5427.9097466880012</v>
      </c>
      <c r="G8" s="23">
        <f t="shared" si="1"/>
        <v>5645.0261365555207</v>
      </c>
    </row>
    <row r="9" spans="1:7">
      <c r="A9" s="20" t="s">
        <v>43</v>
      </c>
      <c r="B9" s="15">
        <f>'Historical Financials'!F13</f>
        <v>8.2977714556661919E-2</v>
      </c>
      <c r="C9" s="15">
        <f>Assumptions!$B9</f>
        <v>0.1</v>
      </c>
      <c r="D9" s="15">
        <f>Assumptions!$B9</f>
        <v>0.1</v>
      </c>
      <c r="E9" s="15">
        <f>Assumptions!$B9</f>
        <v>0.1</v>
      </c>
      <c r="F9" s="15">
        <f>Assumptions!$B9</f>
        <v>0.1</v>
      </c>
      <c r="G9" s="15">
        <f>Assumptions!$B9</f>
        <v>0.1</v>
      </c>
    </row>
    <row r="10" spans="1:7">
      <c r="A10" s="20" t="s">
        <v>12</v>
      </c>
      <c r="B10" s="21">
        <f>B8*(1-'Cash Flow'!B5)</f>
        <v>3068.45</v>
      </c>
      <c r="C10" s="21">
        <f>C8*(1-'Cash Flow'!C5)</f>
        <v>3845.8374239999994</v>
      </c>
      <c r="D10" s="21">
        <f>D8*(1-'Cash Flow'!D5)</f>
        <v>3999.6709209599999</v>
      </c>
      <c r="E10" s="21">
        <f>E8*(1-'Cash Flow'!E5)</f>
        <v>4159.6577577984008</v>
      </c>
      <c r="F10" s="21">
        <f>F8*(1-'Cash Flow'!F5)</f>
        <v>4326.0440681103364</v>
      </c>
      <c r="G10" s="21">
        <f>G8*(1-'Cash Flow'!G5)</f>
        <v>4499.0858308347497</v>
      </c>
    </row>
    <row r="11" spans="1:7">
      <c r="A11" s="20" t="s">
        <v>17</v>
      </c>
      <c r="B11" s="15">
        <f>B10/B4</f>
        <v>6.6133238501659544E-2</v>
      </c>
      <c r="C11" s="15">
        <f t="shared" ref="C11:G11" si="2">C10/C4</f>
        <v>7.9699999999999993E-2</v>
      </c>
      <c r="D11" s="15">
        <f t="shared" si="2"/>
        <v>7.9699999999999993E-2</v>
      </c>
      <c r="E11" s="15">
        <f t="shared" si="2"/>
        <v>7.9700000000000007E-2</v>
      </c>
      <c r="F11" s="15">
        <f t="shared" si="2"/>
        <v>7.9700000000000007E-2</v>
      </c>
      <c r="G11" s="15">
        <f t="shared" si="2"/>
        <v>7.9699999999999993E-2</v>
      </c>
    </row>
    <row r="12" spans="1:7">
      <c r="C12" s="18"/>
      <c r="D12" s="18"/>
      <c r="E12" s="18"/>
      <c r="F12" s="18"/>
      <c r="G12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6903-309D-4C90-A5F5-98137B35C054}">
  <dimension ref="A1:I10"/>
  <sheetViews>
    <sheetView workbookViewId="0">
      <selection activeCell="F16" sqref="F16"/>
    </sheetView>
  </sheetViews>
  <sheetFormatPr defaultRowHeight="15"/>
  <cols>
    <col min="1" max="1" width="27.85546875" customWidth="1"/>
    <col min="2" max="2" width="11.5703125" customWidth="1"/>
    <col min="3" max="3" width="11.28515625" customWidth="1"/>
    <col min="4" max="4" width="11.5703125" customWidth="1"/>
    <col min="5" max="5" width="11.28515625" customWidth="1"/>
    <col min="6" max="6" width="11.140625" customWidth="1"/>
    <col min="7" max="7" width="10.85546875" customWidth="1"/>
  </cols>
  <sheetData>
    <row r="1" spans="1:9">
      <c r="A1" s="1" t="s">
        <v>44</v>
      </c>
    </row>
    <row r="3" spans="1:9">
      <c r="A3" s="19" t="s">
        <v>1</v>
      </c>
      <c r="B3" s="7" t="s">
        <v>6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41</v>
      </c>
    </row>
    <row r="4" spans="1:9">
      <c r="A4" s="20" t="s">
        <v>42</v>
      </c>
      <c r="B4" s="22">
        <f>Forecast!B8</f>
        <v>3850</v>
      </c>
      <c r="C4" s="22">
        <f>Forecast!C8</f>
        <v>4825.3919999999998</v>
      </c>
      <c r="D4" s="22">
        <f>Forecast!D8</f>
        <v>5018.4076800000003</v>
      </c>
      <c r="E4" s="22">
        <f>Forecast!E8</f>
        <v>5219.143987200001</v>
      </c>
      <c r="F4" s="22">
        <f>Forecast!F8</f>
        <v>5427.9097466880012</v>
      </c>
      <c r="G4" s="22">
        <f>Forecast!G8</f>
        <v>5645.0261365555207</v>
      </c>
    </row>
    <row r="5" spans="1:9">
      <c r="A5" s="20" t="s">
        <v>45</v>
      </c>
      <c r="B5" s="15">
        <v>0.20300000000000001</v>
      </c>
      <c r="C5" s="15">
        <v>0.20300000000000001</v>
      </c>
      <c r="D5" s="15">
        <v>0.20300000000000001</v>
      </c>
      <c r="E5" s="15">
        <v>0.20300000000000001</v>
      </c>
      <c r="F5" s="15">
        <v>0.20300000000000001</v>
      </c>
      <c r="G5" s="15">
        <v>0.20300000000000001</v>
      </c>
    </row>
    <row r="6" spans="1:9">
      <c r="A6" s="20" t="s">
        <v>46</v>
      </c>
      <c r="B6" s="22">
        <f>B4*(1-B5)</f>
        <v>3068.45</v>
      </c>
      <c r="C6" s="22">
        <f>C4*(1-C5)</f>
        <v>3845.8374239999994</v>
      </c>
      <c r="D6" s="22">
        <f t="shared" ref="D6:G6" si="0">D4*(1-D5)</f>
        <v>3999.6709209599999</v>
      </c>
      <c r="E6" s="22">
        <f t="shared" si="0"/>
        <v>4159.6577577984008</v>
      </c>
      <c r="F6" s="22">
        <f t="shared" si="0"/>
        <v>4326.0440681103364</v>
      </c>
      <c r="G6" s="22">
        <f t="shared" si="0"/>
        <v>4499.0858308347497</v>
      </c>
    </row>
    <row r="7" spans="1:9">
      <c r="A7" s="20" t="s">
        <v>47</v>
      </c>
      <c r="B7" s="24">
        <v>747</v>
      </c>
      <c r="C7" s="22">
        <f>C4*1.6%</f>
        <v>77.206271999999998</v>
      </c>
      <c r="D7" s="22">
        <f t="shared" ref="D7:G7" si="1">D4*1.6%</f>
        <v>80.294522880000002</v>
      </c>
      <c r="E7" s="22">
        <f t="shared" si="1"/>
        <v>83.506303795200012</v>
      </c>
      <c r="F7" s="22">
        <f t="shared" si="1"/>
        <v>86.846555947008014</v>
      </c>
      <c r="G7" s="22">
        <f t="shared" si="1"/>
        <v>90.320418184888339</v>
      </c>
    </row>
    <row r="8" spans="1:9">
      <c r="A8" s="20" t="s">
        <v>19</v>
      </c>
      <c r="B8" s="24">
        <v>684</v>
      </c>
      <c r="C8" s="22">
        <f>C4*1.5%</f>
        <v>72.380879999999991</v>
      </c>
      <c r="D8" s="22">
        <f t="shared" ref="D8:G8" si="2">D4*1.5%</f>
        <v>75.276115200000007</v>
      </c>
      <c r="E8" s="22">
        <f t="shared" si="2"/>
        <v>78.287159808000013</v>
      </c>
      <c r="F8" s="22">
        <f t="shared" si="2"/>
        <v>81.418646200320012</v>
      </c>
      <c r="G8" s="22">
        <f t="shared" si="2"/>
        <v>84.67539204833281</v>
      </c>
    </row>
    <row r="9" spans="1:9">
      <c r="A9" s="20" t="s">
        <v>48</v>
      </c>
      <c r="B9" s="24">
        <v>1678</v>
      </c>
      <c r="C9" s="22">
        <f>C4*1%</f>
        <v>48.253920000000001</v>
      </c>
      <c r="D9" s="22">
        <f t="shared" ref="D9:G9" si="3">D4*1%</f>
        <v>50.184076800000007</v>
      </c>
      <c r="E9" s="22">
        <f t="shared" si="3"/>
        <v>52.191439872000011</v>
      </c>
      <c r="F9" s="22">
        <f t="shared" si="3"/>
        <v>54.27909746688001</v>
      </c>
      <c r="G9" s="22">
        <f t="shared" si="3"/>
        <v>56.450261365555207</v>
      </c>
    </row>
    <row r="10" spans="1:9">
      <c r="A10" s="20" t="s">
        <v>20</v>
      </c>
      <c r="B10" s="22">
        <f>B6+B7-B8-B9</f>
        <v>1453.4499999999998</v>
      </c>
      <c r="C10" s="22">
        <f>C6+C7-C8-C9</f>
        <v>3802.408895999999</v>
      </c>
      <c r="D10" s="22">
        <f t="shared" ref="D10:G10" si="4">D6+D7-D8-D9</f>
        <v>3954.5052518399998</v>
      </c>
      <c r="E10" s="22">
        <f t="shared" si="4"/>
        <v>4112.6854619136011</v>
      </c>
      <c r="F10" s="22">
        <f t="shared" si="4"/>
        <v>4277.1928803901446</v>
      </c>
      <c r="G10" s="22">
        <f t="shared" si="4"/>
        <v>4448.2805956057509</v>
      </c>
      <c r="I10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085D-93FC-4C27-9688-7B570EB18065}">
  <dimension ref="A1:F23"/>
  <sheetViews>
    <sheetView topLeftCell="A2" workbookViewId="0">
      <selection activeCell="E16" sqref="E16"/>
    </sheetView>
  </sheetViews>
  <sheetFormatPr defaultRowHeight="15"/>
  <cols>
    <col min="1" max="1" width="25.42578125" customWidth="1"/>
    <col min="2" max="2" width="12.28515625" customWidth="1"/>
    <col min="3" max="3" width="12.140625" customWidth="1"/>
    <col min="4" max="4" width="11.5703125" customWidth="1"/>
    <col min="5" max="5" width="12.140625" customWidth="1"/>
    <col min="6" max="6" width="12.42578125" customWidth="1"/>
  </cols>
  <sheetData>
    <row r="1" spans="1:6">
      <c r="A1" s="1" t="s">
        <v>50</v>
      </c>
    </row>
    <row r="3" spans="1:6">
      <c r="A3" s="25" t="s">
        <v>1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</row>
    <row r="4" spans="1:6">
      <c r="A4" s="26" t="s">
        <v>20</v>
      </c>
      <c r="B4" s="22">
        <f>'Cash Flow'!C10</f>
        <v>3802.408895999999</v>
      </c>
      <c r="C4" s="22">
        <f>'Cash Flow'!D10</f>
        <v>3954.5052518399998</v>
      </c>
      <c r="D4" s="22">
        <f>'Cash Flow'!E10</f>
        <v>4112.6854619136011</v>
      </c>
      <c r="E4" s="22">
        <f>'Cash Flow'!F10</f>
        <v>4277.1928803901446</v>
      </c>
      <c r="F4" s="22">
        <f>'Cash Flow'!G10</f>
        <v>4448.2805956057509</v>
      </c>
    </row>
    <row r="5" spans="1:6">
      <c r="A5" s="16" t="s">
        <v>51</v>
      </c>
      <c r="B5" s="15">
        <f>1/(1+Assumptions!$B14)^1</f>
        <v>0.9174311926605504</v>
      </c>
      <c r="C5" s="15">
        <f>1/(1+Assumptions!$B14)^2</f>
        <v>0.84167999326655996</v>
      </c>
      <c r="D5" s="15">
        <f>1/(1+Assumptions!$B14)^3</f>
        <v>0.77218348006106419</v>
      </c>
      <c r="E5" s="15">
        <f>1/(1+Assumptions!$B14)^4</f>
        <v>0.7084252110651964</v>
      </c>
      <c r="F5" s="15">
        <f>1/(1+Assumptions!$B14)^5</f>
        <v>0.64993138629834524</v>
      </c>
    </row>
    <row r="6" spans="1:6">
      <c r="A6" s="16" t="s">
        <v>52</v>
      </c>
      <c r="B6" s="22">
        <f>B4*B5</f>
        <v>3488.4485284403659</v>
      </c>
      <c r="C6" s="22">
        <f t="shared" ref="C6:F6" si="0">C4*C5</f>
        <v>3328.4279537412672</v>
      </c>
      <c r="D6" s="22">
        <f t="shared" si="0"/>
        <v>3175.7477723769898</v>
      </c>
      <c r="E6" s="22">
        <f t="shared" si="0"/>
        <v>3030.0712690569435</v>
      </c>
      <c r="F6" s="22">
        <f t="shared" si="0"/>
        <v>2891.0771741460744</v>
      </c>
    </row>
    <row r="8" spans="1:6">
      <c r="A8" s="16" t="s">
        <v>35</v>
      </c>
      <c r="B8" s="15">
        <f>Assumptions!B15</f>
        <v>2.5000000000000001E-2</v>
      </c>
      <c r="C8" s="18"/>
      <c r="D8" s="18"/>
      <c r="E8" s="18"/>
      <c r="F8" s="18"/>
    </row>
    <row r="9" spans="1:6">
      <c r="A9" s="16" t="s">
        <v>53</v>
      </c>
      <c r="B9" s="23">
        <f>F4*(1+B8)/(Assumptions!B14-B8)</f>
        <v>70145.96323839837</v>
      </c>
    </row>
    <row r="10" spans="1:6">
      <c r="A10" s="16" t="s">
        <v>54</v>
      </c>
      <c r="B10" s="23">
        <f>B9*F5</f>
        <v>45590.063130765018</v>
      </c>
    </row>
    <row r="11" spans="1:6">
      <c r="B11" s="28"/>
    </row>
    <row r="12" spans="1:6">
      <c r="A12" s="16" t="s">
        <v>55</v>
      </c>
      <c r="B12" s="23">
        <f>SUM(B6:F6)+B10</f>
        <v>61503.835828526659</v>
      </c>
    </row>
    <row r="13" spans="1:6">
      <c r="A13" s="16" t="s">
        <v>56</v>
      </c>
      <c r="B13" s="23">
        <f>5942-7563-1464</f>
        <v>-3085</v>
      </c>
    </row>
    <row r="14" spans="1:6">
      <c r="A14" s="16" t="s">
        <v>57</v>
      </c>
      <c r="B14" s="23">
        <f>B12-B13</f>
        <v>64588.835828526659</v>
      </c>
    </row>
    <row r="15" spans="1:6">
      <c r="A15" s="16" t="s">
        <v>58</v>
      </c>
      <c r="B15" s="23">
        <f>1483.5</f>
        <v>1483.5</v>
      </c>
    </row>
    <row r="16" spans="1:6">
      <c r="A16" s="17" t="s">
        <v>59</v>
      </c>
      <c r="B16" s="30">
        <f>B14/B15</f>
        <v>43.538143463786085</v>
      </c>
    </row>
    <row r="19" spans="1:4">
      <c r="A19" s="1" t="s">
        <v>60</v>
      </c>
    </row>
    <row r="20" spans="1:4">
      <c r="A20" s="29" t="s">
        <v>61</v>
      </c>
      <c r="B20" s="33">
        <v>0.02</v>
      </c>
      <c r="C20" s="33">
        <v>2.5000000000000001E-2</v>
      </c>
      <c r="D20" s="33">
        <v>0.03</v>
      </c>
    </row>
    <row r="21" spans="1:4">
      <c r="A21" s="32">
        <v>0.08</v>
      </c>
      <c r="B21" s="30">
        <f>((SUM($B$4/(1+$A21)^1,$C$4/(1+$A21)^2,$D$4/(1+$A21)^3,$E$4/(1+$A21)^4,$F$4/(1+$A21)^5)+($F$4*(1+B$20)/($A21-B$20))/(1+$A21)^5)-$B$13)/$B$15</f>
        <v>47.791302418911286</v>
      </c>
      <c r="C21" s="30">
        <f t="shared" ref="C21:D21" si="1">((SUM($B$4/(1+$A21)^1,$C$4/(1+$A21)^2,$D$4/(1+$A21)^3,$E$4/(1+$A21)^4,$F$4/(1+$A21)^5)+($F$4*(1+C$20)/($A21-C$20))/(1+$A21)^5)-$B$13)/$B$15</f>
        <v>51.130681070324712</v>
      </c>
      <c r="D21" s="30">
        <f t="shared" si="1"/>
        <v>55.137935452020848</v>
      </c>
    </row>
    <row r="22" spans="1:4">
      <c r="A22" s="32">
        <v>0.09</v>
      </c>
      <c r="B22" s="30">
        <f t="shared" ref="B22:D23" si="2">((SUM($B$4/(1+$A22)^1,$C$4/(1+$A22)^2,$D$4/(1+$A22)^3,$E$4/(1+$A22)^4,$F$4/(1+$A22)^5)+($F$4*(1+B$20)/($A22-B$20))/(1+$A22)^5)-$B$13)/$B$15</f>
        <v>41.203840401293384</v>
      </c>
      <c r="C22" s="31">
        <f t="shared" si="2"/>
        <v>43.538143463786085</v>
      </c>
      <c r="D22" s="30">
        <f t="shared" si="2"/>
        <v>46.261497036694252</v>
      </c>
    </row>
    <row r="23" spans="1:4">
      <c r="A23" s="32">
        <v>0.1</v>
      </c>
      <c r="B23" s="30">
        <f t="shared" si="2"/>
        <v>36.265026637349514</v>
      </c>
      <c r="C23" s="30">
        <f t="shared" si="2"/>
        <v>37.971708751740067</v>
      </c>
      <c r="D23" s="30">
        <f t="shared" si="2"/>
        <v>39.922202596757856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4C25-7A75-4B33-8B74-0A9B85B09D6B}">
  <dimension ref="A1:I14"/>
  <sheetViews>
    <sheetView workbookViewId="0">
      <selection activeCell="D15" sqref="D15"/>
    </sheetView>
  </sheetViews>
  <sheetFormatPr defaultRowHeight="15"/>
  <cols>
    <col min="1" max="1" width="29.42578125" customWidth="1"/>
    <col min="2" max="2" width="12.7109375" customWidth="1"/>
    <col min="3" max="3" width="12.85546875" customWidth="1"/>
    <col min="4" max="4" width="18.85546875" customWidth="1"/>
    <col min="5" max="5" width="24" customWidth="1"/>
    <col min="6" max="6" width="16.42578125" customWidth="1"/>
    <col min="7" max="7" width="15.85546875" customWidth="1"/>
    <col min="8" max="8" width="11.140625" customWidth="1"/>
    <col min="9" max="9" width="12.140625" customWidth="1"/>
  </cols>
  <sheetData>
    <row r="1" spans="1:9">
      <c r="A1" s="1" t="s">
        <v>62</v>
      </c>
    </row>
    <row r="3" spans="1:9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68</v>
      </c>
      <c r="G3" s="29" t="s">
        <v>69</v>
      </c>
      <c r="H3" s="29" t="s">
        <v>70</v>
      </c>
      <c r="I3" s="29" t="s">
        <v>71</v>
      </c>
    </row>
    <row r="4" spans="1:9">
      <c r="A4" s="20" t="s">
        <v>72</v>
      </c>
      <c r="B4" s="20" t="s">
        <v>73</v>
      </c>
      <c r="C4" s="37">
        <v>35.51</v>
      </c>
      <c r="D4" s="34">
        <v>52680</v>
      </c>
      <c r="E4" s="34">
        <v>54700</v>
      </c>
      <c r="F4" s="34">
        <v>46400</v>
      </c>
      <c r="G4" s="34">
        <v>4930</v>
      </c>
      <c r="H4" s="39">
        <v>17.309999999999999</v>
      </c>
      <c r="I4" s="39">
        <v>11.14</v>
      </c>
    </row>
    <row r="5" spans="1:9">
      <c r="A5" s="20" t="s">
        <v>74</v>
      </c>
      <c r="B5" s="20" t="s">
        <v>75</v>
      </c>
      <c r="C5" s="38">
        <v>163.02000000000001</v>
      </c>
      <c r="D5" s="36">
        <v>28364</v>
      </c>
      <c r="E5" s="36">
        <v>33875</v>
      </c>
      <c r="F5" s="36">
        <v>29840</v>
      </c>
      <c r="G5" s="36">
        <v>3049</v>
      </c>
      <c r="H5" s="40">
        <v>18.27</v>
      </c>
      <c r="I5" s="40">
        <v>8.9499999999999993</v>
      </c>
    </row>
    <row r="6" spans="1:9">
      <c r="A6" s="20" t="s">
        <v>76</v>
      </c>
      <c r="B6" s="35" t="s">
        <v>77</v>
      </c>
      <c r="C6" s="38">
        <v>25.21</v>
      </c>
      <c r="D6" s="36">
        <v>3713</v>
      </c>
      <c r="E6" s="36">
        <v>6326</v>
      </c>
      <c r="F6" s="36">
        <v>8011</v>
      </c>
      <c r="G6" s="24">
        <v>-19</v>
      </c>
      <c r="H6" s="40" t="s">
        <v>78</v>
      </c>
      <c r="I6" s="40">
        <v>25.7</v>
      </c>
    </row>
    <row r="7" spans="1:9">
      <c r="A7" s="20" t="s">
        <v>79</v>
      </c>
      <c r="B7" s="20" t="s">
        <v>80</v>
      </c>
      <c r="C7" s="38">
        <v>98.06</v>
      </c>
      <c r="D7" s="36">
        <v>10860</v>
      </c>
      <c r="E7" s="36">
        <v>11610</v>
      </c>
      <c r="F7" s="36">
        <v>11090</v>
      </c>
      <c r="G7" s="36">
        <v>2380</v>
      </c>
      <c r="H7" s="40">
        <v>8.0299999999999994</v>
      </c>
      <c r="I7" s="40">
        <v>4.87</v>
      </c>
    </row>
    <row r="8" spans="1:9">
      <c r="A8" s="20" t="s">
        <v>81</v>
      </c>
      <c r="B8" s="20" t="s">
        <v>82</v>
      </c>
      <c r="C8" s="37">
        <v>4.88</v>
      </c>
      <c r="D8" s="34">
        <v>2100</v>
      </c>
      <c r="E8" s="34">
        <v>3080</v>
      </c>
      <c r="F8" s="34">
        <v>4930</v>
      </c>
      <c r="G8" s="20">
        <v>173</v>
      </c>
      <c r="H8" s="39" t="s">
        <v>78</v>
      </c>
      <c r="I8" s="39">
        <v>17.78</v>
      </c>
    </row>
    <row r="10" spans="1:9">
      <c r="A10" s="29" t="s">
        <v>83</v>
      </c>
      <c r="B10" s="24"/>
      <c r="C10" s="24"/>
      <c r="D10" s="24"/>
      <c r="E10" s="24"/>
      <c r="F10" s="24"/>
      <c r="G10" s="24"/>
      <c r="H10" s="41">
        <f>MEDIAN(H4:H8)</f>
        <v>17.309999999999999</v>
      </c>
      <c r="I10" s="41">
        <f>MEDIAN(I4:I5,I7:I8)</f>
        <v>10.045</v>
      </c>
    </row>
    <row r="12" spans="1:9">
      <c r="A12" s="19" t="s">
        <v>84</v>
      </c>
      <c r="B12" s="30">
        <f>H10*'Historical Financials'!F9/DCF!B15</f>
        <v>36.26523761375126</v>
      </c>
    </row>
    <row r="13" spans="1:9">
      <c r="A13" s="29" t="s">
        <v>85</v>
      </c>
      <c r="B13" s="30">
        <f>(I10*G4-DCF!B13)/DCF!B15</f>
        <v>35.461307718233904</v>
      </c>
    </row>
    <row r="14" spans="1:9">
      <c r="A14" s="29" t="s">
        <v>86</v>
      </c>
      <c r="B14" s="30">
        <f>AVERAGE(B12:B13)</f>
        <v>35.863272665992582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31CA-F9A5-44FF-964C-99546C8D7185}">
  <dimension ref="A1:D16"/>
  <sheetViews>
    <sheetView workbookViewId="0">
      <selection activeCell="E12" sqref="E12"/>
    </sheetView>
  </sheetViews>
  <sheetFormatPr defaultRowHeight="15"/>
  <cols>
    <col min="1" max="1" width="28.42578125" customWidth="1"/>
    <col min="2" max="3" width="14.140625" customWidth="1"/>
    <col min="4" max="4" width="13.42578125" customWidth="1"/>
  </cols>
  <sheetData>
    <row r="1" spans="1:4">
      <c r="A1" s="1" t="s">
        <v>87</v>
      </c>
    </row>
    <row r="3" spans="1:4">
      <c r="A3" s="19" t="s">
        <v>88</v>
      </c>
      <c r="B3" s="19" t="s">
        <v>31</v>
      </c>
      <c r="C3" s="29" t="s">
        <v>29</v>
      </c>
      <c r="D3" s="29" t="s">
        <v>30</v>
      </c>
    </row>
    <row r="4" spans="1:4">
      <c r="A4" s="20" t="s">
        <v>14</v>
      </c>
      <c r="B4" s="42">
        <v>0.01</v>
      </c>
      <c r="C4" s="42">
        <v>0.04</v>
      </c>
      <c r="D4" s="42">
        <v>0.06</v>
      </c>
    </row>
    <row r="5" spans="1:4">
      <c r="A5" s="20" t="s">
        <v>43</v>
      </c>
      <c r="B5" s="42">
        <v>0.08</v>
      </c>
      <c r="C5" s="42">
        <v>0.1</v>
      </c>
      <c r="D5" s="42">
        <v>0.11</v>
      </c>
    </row>
    <row r="6" spans="1:4">
      <c r="A6" s="20" t="s">
        <v>89</v>
      </c>
      <c r="B6" s="42">
        <v>0.02</v>
      </c>
      <c r="C6" s="42">
        <v>2.5000000000000001E-2</v>
      </c>
      <c r="D6" s="42">
        <v>0.03</v>
      </c>
    </row>
    <row r="7" spans="1:4">
      <c r="A7" s="20" t="s">
        <v>34</v>
      </c>
      <c r="B7" s="42">
        <v>0.1</v>
      </c>
      <c r="C7" s="42">
        <v>0.09</v>
      </c>
      <c r="D7" s="42">
        <v>0.08</v>
      </c>
    </row>
    <row r="9" spans="1:4">
      <c r="A9" s="20" t="s">
        <v>59</v>
      </c>
    </row>
    <row r="10" spans="1:4">
      <c r="A10" s="20" t="s">
        <v>90</v>
      </c>
    </row>
    <row r="11" spans="1:4">
      <c r="A11" s="20" t="s">
        <v>91</v>
      </c>
    </row>
    <row r="12" spans="1:4">
      <c r="A12" s="20" t="s">
        <v>92</v>
      </c>
    </row>
    <row r="14" spans="1:4">
      <c r="A14" s="29" t="s">
        <v>93</v>
      </c>
      <c r="B14" s="30" cm="1">
        <f t="array" ref="B14">(((SUMPRODUCT('Historical Financials'!$F$4*(1+B$4)^{1,2,3,4,5}*B$5*(1-'Cash Flow'!$B$5+1.6%-1.5%-1%)/(1+B$7)^{1,2,3,4,5}))+((('Historical Financials'!$F$4*(1+B$4)^5)*B$5*(1-'Cash Flow'!$B$5+1.6%-1.5%-1%))*(1+B$6)/(B$7-B$6))/(1+B$7)^5)-DCF!$B$13)/DCF!$B$15</f>
        <v>26.17150358927109</v>
      </c>
      <c r="C14" s="30" cm="1">
        <f t="array" ref="C14">(((SUMPRODUCT('Historical Financials'!$F$4*(1+C$4)^{1,2,3,4,5}*C$5*(1-'Cash Flow'!$B$5+1.6%-1.5%-1%)/(1+C$7)^{1,2,3,4,5}))+((('Historical Financials'!$F$4*(1+C$4)^5)*C$5*(1-'Cash Flow'!$B$5+1.6%-1.5%-1%))*(1+C$6)/(C$7-C$6))/(1+C$7)^5)-DCF!$B$13)/DCF!$B$15</f>
        <v>43.538143463786085</v>
      </c>
      <c r="D14" s="30" cm="1">
        <f t="array" ref="D14">(((SUMPRODUCT('Historical Financials'!$F$4*(1+D$4)^{1,2,3,4,5}*D$5*(1-'Cash Flow'!$B$5+1.6%-1.5%-1%)/(1+D$7)^{1,2,3,4,5}))+((('Historical Financials'!$F$4*(1+D$4)^5)*D$5*(1-'Cash Flow'!$B$5+1.6%-1.5%-1%))*(1+D$6)/(D$7-D$6))/(1+D$7)^5)-DCF!$B$13)/DCF!$B$15</f>
        <v>65.763606697893522</v>
      </c>
    </row>
    <row r="15" spans="1:4">
      <c r="A15" s="29" t="s">
        <v>91</v>
      </c>
      <c r="B15" s="30">
        <f>'Trading Comps'!$B$14</f>
        <v>35.863272665992582</v>
      </c>
      <c r="C15" s="30">
        <f>'Trading Comps'!$B$14</f>
        <v>35.863272665992582</v>
      </c>
      <c r="D15" s="30">
        <f>'Trading Comps'!$B$14</f>
        <v>35.863272665992582</v>
      </c>
    </row>
    <row r="16" spans="1:4">
      <c r="A16" s="29" t="s">
        <v>94</v>
      </c>
      <c r="B16" s="30">
        <f>AVERAGE(B14,B15)</f>
        <v>31.017388127631836</v>
      </c>
      <c r="C16" s="30">
        <f t="shared" ref="C16:D16" si="0">AVERAGE(C14,C15)</f>
        <v>39.700708064889334</v>
      </c>
      <c r="D16" s="30">
        <f t="shared" si="0"/>
        <v>50.813439681943052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A041-338E-4470-913E-BC02AE74EF83}">
  <dimension ref="A1:B16"/>
  <sheetViews>
    <sheetView workbookViewId="0">
      <selection activeCell="B12" sqref="B12"/>
    </sheetView>
  </sheetViews>
  <sheetFormatPr defaultRowHeight="15"/>
  <cols>
    <col min="1" max="1" width="20" customWidth="1"/>
    <col min="2" max="2" width="22.140625" customWidth="1"/>
  </cols>
  <sheetData>
    <row r="1" spans="1:2">
      <c r="A1" s="1" t="s">
        <v>95</v>
      </c>
    </row>
    <row r="3" spans="1:2">
      <c r="A3" s="19" t="s">
        <v>96</v>
      </c>
      <c r="B3" s="19" t="s">
        <v>59</v>
      </c>
    </row>
    <row r="4" spans="1:2">
      <c r="A4" s="20" t="s">
        <v>97</v>
      </c>
      <c r="B4" s="30">
        <f>DCF!B16</f>
        <v>43.538143463786085</v>
      </c>
    </row>
    <row r="5" spans="1:2">
      <c r="A5" s="20" t="s">
        <v>62</v>
      </c>
      <c r="B5" s="30">
        <f>'Trading Comps'!B14</f>
        <v>35.863272665992582</v>
      </c>
    </row>
    <row r="6" spans="1:2">
      <c r="A6" s="20" t="s">
        <v>98</v>
      </c>
      <c r="B6" s="30">
        <f>'Bull Base Bear'!C16</f>
        <v>39.700708064889334</v>
      </c>
    </row>
    <row r="7" spans="1:2">
      <c r="B7" s="27"/>
    </row>
    <row r="8" spans="1:2">
      <c r="A8" s="35" t="s">
        <v>99</v>
      </c>
      <c r="B8" s="30">
        <f>'Trading Comps'!C4</f>
        <v>35.51</v>
      </c>
    </row>
    <row r="9" spans="1:2">
      <c r="A9" s="20" t="s">
        <v>100</v>
      </c>
      <c r="B9" s="30">
        <f>B6</f>
        <v>39.700708064889334</v>
      </c>
    </row>
    <row r="10" spans="1:2">
      <c r="A10" s="20" t="s">
        <v>101</v>
      </c>
      <c r="B10" s="15">
        <f>B9/B8-1</f>
        <v>0.11801487087832552</v>
      </c>
    </row>
    <row r="11" spans="1:2">
      <c r="A11" s="20" t="s">
        <v>102</v>
      </c>
      <c r="B11" s="30" t="s">
        <v>103</v>
      </c>
    </row>
    <row r="13" spans="1:2">
      <c r="A13" s="29" t="s">
        <v>104</v>
      </c>
      <c r="B13" s="29" t="s">
        <v>59</v>
      </c>
    </row>
    <row r="14" spans="1:2">
      <c r="A14" s="20" t="s">
        <v>31</v>
      </c>
      <c r="B14" s="30">
        <f>'Bull Base Bear'!B16</f>
        <v>31.017388127631836</v>
      </c>
    </row>
    <row r="15" spans="1:2">
      <c r="A15" s="20" t="s">
        <v>29</v>
      </c>
      <c r="B15" s="30">
        <f>'Bull Base Bear'!C16</f>
        <v>39.700708064889334</v>
      </c>
    </row>
    <row r="16" spans="1:2">
      <c r="A16" s="20" t="s">
        <v>30</v>
      </c>
      <c r="B16" s="30">
        <f>'Bull Base Bear'!D16</f>
        <v>50.813439681943052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Paridhi Jain</cp:lastModifiedBy>
  <cp:revision/>
  <dcterms:created xsi:type="dcterms:W3CDTF">2026-09-20T06:29:05Z</dcterms:created>
  <dcterms:modified xsi:type="dcterms:W3CDTF">2026-09-25T15:12:26Z</dcterms:modified>
  <cp:category/>
  <cp:contentStatus/>
</cp:coreProperties>
</file>